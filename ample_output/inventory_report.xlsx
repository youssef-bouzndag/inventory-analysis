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s" sheetId="2" state="visible" r:id="rId2"/>
    <sheet name="Policies" sheetId="3" state="visible" r:id="rId3"/>
    <sheet name="By class" sheetId="4" state="visible" r:id="rId4"/>
    <sheet name="Weekly demand" sheetId="5" state="visible" r:id="rId5"/>
  </sheets>
  <definedNames>
    <definedName name="_xlnm._FilterDatabase" localSheetId="1" hidden="1">'Products'!$A$1:$J$41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b val="1"/>
      <color rgb="000000FF"/>
    </font>
    <font>
      <name val="Arial"/>
      <i val="1"/>
    </font>
    <font>
      <name val="Arial"/>
      <b val="1"/>
      <sz val="16"/>
    </font>
    <font>
      <name val="Arial"/>
    </font>
    <font>
      <name val="Arial"/>
      <color theme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7" fillId="0" borderId="0" pivotButton="0" quotePrefix="0" xfId="0"/>
    <xf numFmtId="3" fontId="7" fillId="0" borderId="0" pivotButton="0" quotePrefix="0" xfId="0"/>
    <xf numFmtId="0" fontId="2" fillId="0" borderId="0" pivotButton="0" quotePrefix="0" xfId="0"/>
    <xf numFmtId="9" fontId="3" fillId="3" borderId="0" pivotButton="0" quotePrefix="0" xfId="0"/>
    <xf numFmtId="0" fontId="4" fillId="0" borderId="0" pivotButton="0" quotePrefix="0" xfId="0"/>
    <xf numFmtId="164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cost by policy (lower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4"/>
          <w val="0.85"/>
          <h val="0.58"/>
        </manualLayout>
      </layout>
      <barChart>
        <barDir val="col"/>
        <grouping val="clustered"/>
        <ser>
          <idx val="0"/>
          <order val="0"/>
          <tx>
            <strRef>
              <f>'Policies'!G3</f>
            </strRef>
          </tx>
          <spPr>
            <a:ln>
              <a:prstDash val="solid"/>
            </a:ln>
          </spPr>
          <cat>
            <numRef>
              <f>'Policies'!$A$4:$A$6</f>
            </numRef>
          </cat>
          <val>
            <numRef>
              <f>'Policies'!$G$4:$G$6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Policy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cost (lost profit + holding cost)</a:t>
                </a:r>
              </a:p>
            </rich>
          </tx>
          <overlay val="0"/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ABC class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7"/>
          <y val="0.14"/>
          <w val="0.7999999999999999"/>
          <h val="0.58"/>
        </manualLayout>
      </layout>
      <barChart>
        <barDir val="col"/>
        <grouping val="clustered"/>
        <ser>
          <idx val="0"/>
          <order val="0"/>
          <tx>
            <strRef>
              <f>'By class'!D1</f>
            </strRef>
          </tx>
          <spPr>
            <a:ln>
              <a:prstDash val="solid"/>
            </a:ln>
          </spPr>
          <cat>
            <numRef>
              <f>'By class'!$A$2:$A$4</f>
            </numRef>
          </cat>
          <val>
            <numRef>
              <f>'By class'!$D$2:$D$4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ABC class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(millions)</a:t>
                </a:r>
              </a:p>
            </rich>
          </tx>
          <overlay val="0"/>
        </title>
        <numFmt formatCode="0.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units by category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4"/>
          <w val="0.85"/>
          <h val="0.52"/>
        </manualLayout>
      </layout>
      <lineChart>
        <grouping val="standard"/>
        <ser>
          <idx val="0"/>
          <order val="0"/>
          <tx>
            <strRef>
              <f>'Weekly demand'!B1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demand'!$A$2:$A$53</f>
            </numRef>
          </cat>
          <val>
            <numRef>
              <f>'Weekly demand'!$B$2:$B$53</f>
            </numRef>
          </val>
        </ser>
        <ser>
          <idx val="1"/>
          <order val="1"/>
          <tx>
            <strRef>
              <f>'Weekly demand'!C1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demand'!$A$2:$A$53</f>
            </numRef>
          </cat>
          <val>
            <numRef>
              <f>'Weekly demand'!$C$2:$C$53</f>
            </numRef>
          </val>
        </ser>
        <ser>
          <idx val="2"/>
          <order val="2"/>
          <tx>
            <strRef>
              <f>'Weekly demand'!D1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demand'!$A$2:$A$53</f>
            </numRef>
          </cat>
          <val>
            <numRef>
              <f>'Weekly demand'!$D$2:$D$53</f>
            </numRef>
          </val>
        </ser>
        <ser>
          <idx val="3"/>
          <order val="3"/>
          <tx>
            <strRef>
              <f>'Weekly demand'!E1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demand'!$A$2:$A$53</f>
            </numRef>
          </cat>
          <val>
            <numRef>
              <f>'Weekly demand'!$E$2:$E$53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  <overlay val="0"/>
        </title>
        <majorTickMark val="none"/>
        <minorTickMark val="none"/>
        <crossAx val="100"/>
        <lblOffset val="100"/>
        <tickLbl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  <overlay val="0"/>
        </title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Inventory analysis: summary</t>
        </is>
      </c>
      <c r="B1" s="2" t="n"/>
    </row>
    <row r="2">
      <c r="A2" s="2" t="n"/>
      <c r="B2" s="2" t="n"/>
    </row>
    <row r="3">
      <c r="A3" s="3" t="inlineStr">
        <is>
          <t>Products</t>
        </is>
      </c>
      <c r="B3" s="4">
        <f>COUNTA(Products!A2:A41)</f>
        <v/>
      </c>
    </row>
    <row r="4">
      <c r="A4" s="3" t="inlineStr">
        <is>
          <t>Total units sold</t>
        </is>
      </c>
      <c r="B4" s="4">
        <f>SUM(Products!G2:G41)</f>
        <v/>
      </c>
    </row>
    <row r="5">
      <c r="A5" s="3" t="inlineStr">
        <is>
          <t>Total revenue</t>
        </is>
      </c>
      <c r="B5" s="4">
        <f>SUM(Products!H2:H41)</f>
        <v/>
      </c>
    </row>
    <row r="6">
      <c r="A6" s="3" t="inlineStr">
        <is>
          <t>Total profit</t>
        </is>
      </c>
      <c r="B6" s="4">
        <f>SUM(Products!I2:I41)</f>
        <v/>
      </c>
    </row>
    <row r="7">
      <c r="A7" s="3" t="inlineStr">
        <is>
          <t>Profit margin</t>
        </is>
      </c>
      <c r="B7" s="5">
        <f>B6/B5</f>
        <v/>
      </c>
    </row>
    <row r="8">
      <c r="A8" s="3" t="inlineStr">
        <is>
          <t>Revenue from class A products</t>
        </is>
      </c>
      <c r="B8" s="5">
        <f>'By class'!E2</f>
        <v/>
      </c>
    </row>
    <row r="9">
      <c r="A9" s="3" t="inlineStr">
        <is>
          <t>Total cost, policy 1 (average demand)</t>
        </is>
      </c>
      <c r="B9" s="4">
        <f>Policies!G4</f>
        <v/>
      </c>
    </row>
    <row r="10">
      <c r="A10" s="3" t="inlineStr">
        <is>
          <t>Total cost, policy 2 (seasonal forecast)</t>
        </is>
      </c>
      <c r="B10" s="4">
        <f>Policies!G5</f>
        <v/>
      </c>
    </row>
    <row r="11">
      <c r="A11" s="3" t="inlineStr">
        <is>
          <t>Total cost, policy 3 (forecast + safety stock)</t>
        </is>
      </c>
      <c r="B11" s="4">
        <f>Policies!G6</f>
        <v/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2" customWidth="1" min="5" max="5"/>
    <col width="19" customWidth="1" min="6" max="6"/>
    <col width="12" customWidth="1" min="7" max="7"/>
    <col width="11" customWidth="1" min="8" max="8"/>
    <col width="16" customWidth="1" min="9" max="9"/>
    <col width="22" customWidth="1" min="10" max="10"/>
  </cols>
  <sheetData>
    <row r="1">
      <c r="A1" s="6" t="inlineStr">
        <is>
          <t>Product</t>
        </is>
      </c>
      <c r="B1" s="6" t="inlineStr">
        <is>
          <t>Category</t>
        </is>
      </c>
      <c r="C1" s="6" t="inlineStr">
        <is>
          <t>Class</t>
        </is>
      </c>
      <c r="D1" s="6" t="inlineStr">
        <is>
          <t>Unit cost</t>
        </is>
      </c>
      <c r="E1" s="6" t="inlineStr">
        <is>
          <t>Unit price</t>
        </is>
      </c>
      <c r="F1" s="6" t="inlineStr">
        <is>
          <t>Lead time (weeks)</t>
        </is>
      </c>
      <c r="G1" s="6" t="inlineStr">
        <is>
          <t>Units sold</t>
        </is>
      </c>
      <c r="H1" s="6" t="inlineStr">
        <is>
          <t>Revenue</t>
        </is>
      </c>
      <c r="I1" s="6" t="inlineStr">
        <is>
          <t>Profit</t>
        </is>
      </c>
      <c r="J1" s="6" t="inlineStr">
        <is>
          <t>Safety stock (units)</t>
        </is>
      </c>
    </row>
    <row r="2">
      <c r="A2" s="2" t="inlineStr">
        <is>
          <t>P22</t>
        </is>
      </c>
      <c r="B2" s="2" t="inlineStr">
        <is>
          <t>Office</t>
        </is>
      </c>
      <c r="C2" s="2" t="inlineStr">
        <is>
          <t>A</t>
        </is>
      </c>
      <c r="D2" s="7" t="n">
        <v>67.45</v>
      </c>
      <c r="E2" s="7" t="n">
        <v>95.09999999999999</v>
      </c>
      <c r="F2" s="2" t="n">
        <v>1</v>
      </c>
      <c r="G2" s="8" t="n">
        <v>23764</v>
      </c>
      <c r="H2" s="8">
        <f>G2*E2</f>
        <v/>
      </c>
      <c r="I2" s="8">
        <f>G2*(E2-D2)</f>
        <v/>
      </c>
      <c r="J2" s="8" t="n">
        <v>302</v>
      </c>
    </row>
    <row r="3">
      <c r="A3" s="2" t="inlineStr">
        <is>
          <t>P21</t>
        </is>
      </c>
      <c r="B3" s="2" t="inlineStr">
        <is>
          <t>Garden</t>
        </is>
      </c>
      <c r="C3" s="2" t="inlineStr">
        <is>
          <t>A</t>
        </is>
      </c>
      <c r="D3" s="7" t="n">
        <v>37.79</v>
      </c>
      <c r="E3" s="7" t="n">
        <v>55.65</v>
      </c>
      <c r="F3" s="2" t="n">
        <v>4</v>
      </c>
      <c r="G3" s="8" t="n">
        <v>9893</v>
      </c>
      <c r="H3" s="8">
        <f>G3*E3</f>
        <v/>
      </c>
      <c r="I3" s="8">
        <f>G3*(E3-D3)</f>
        <v/>
      </c>
      <c r="J3" s="8" t="n">
        <v>257</v>
      </c>
    </row>
    <row r="4">
      <c r="A4" s="2" t="inlineStr">
        <is>
          <t>P38</t>
        </is>
      </c>
      <c r="B4" s="2" t="inlineStr">
        <is>
          <t>Kitchen</t>
        </is>
      </c>
      <c r="C4" s="2" t="inlineStr">
        <is>
          <t>A</t>
        </is>
      </c>
      <c r="D4" s="7" t="n">
        <v>47.66</v>
      </c>
      <c r="E4" s="7" t="n">
        <v>67.48</v>
      </c>
      <c r="F4" s="2" t="n">
        <v>3</v>
      </c>
      <c r="G4" s="8" t="n">
        <v>8788</v>
      </c>
      <c r="H4" s="8">
        <f>G4*E4</f>
        <v/>
      </c>
      <c r="I4" s="8">
        <f>G4*(E4-D4)</f>
        <v/>
      </c>
      <c r="J4" s="8" t="n">
        <v>146</v>
      </c>
    </row>
    <row r="5">
      <c r="A5" s="2" t="inlineStr">
        <is>
          <t>P01</t>
        </is>
      </c>
      <c r="B5" s="2" t="inlineStr">
        <is>
          <t>Home</t>
        </is>
      </c>
      <c r="C5" s="2" t="inlineStr">
        <is>
          <t>A</t>
        </is>
      </c>
      <c r="D5" s="7" t="n">
        <v>61.86</v>
      </c>
      <c r="E5" s="7" t="n">
        <v>86.56</v>
      </c>
      <c r="F5" s="2" t="n">
        <v>2</v>
      </c>
      <c r="G5" s="8" t="n">
        <v>7277</v>
      </c>
      <c r="H5" s="8">
        <f>G5*E5</f>
        <v/>
      </c>
      <c r="I5" s="8">
        <f>G5*(E5-D5)</f>
        <v/>
      </c>
      <c r="J5" s="8" t="n">
        <v>105</v>
      </c>
    </row>
    <row r="6">
      <c r="A6" s="2" t="inlineStr">
        <is>
          <t>P09</t>
        </is>
      </c>
      <c r="B6" s="2" t="inlineStr">
        <is>
          <t>Home</t>
        </is>
      </c>
      <c r="C6" s="2" t="inlineStr">
        <is>
          <t>A</t>
        </is>
      </c>
      <c r="D6" s="7" t="n">
        <v>16.57</v>
      </c>
      <c r="E6" s="7" t="n">
        <v>20.69</v>
      </c>
      <c r="F6" s="2" t="n">
        <v>3</v>
      </c>
      <c r="G6" s="8" t="n">
        <v>6228</v>
      </c>
      <c r="H6" s="8">
        <f>G6*E6</f>
        <v/>
      </c>
      <c r="I6" s="8">
        <f>G6*(E6-D6)</f>
        <v/>
      </c>
      <c r="J6" s="8" t="n">
        <v>114</v>
      </c>
    </row>
    <row r="7">
      <c r="A7" s="2" t="inlineStr">
        <is>
          <t>P06</t>
        </is>
      </c>
      <c r="B7" s="2" t="inlineStr">
        <is>
          <t>Kitchen</t>
        </is>
      </c>
      <c r="C7" s="2" t="inlineStr">
        <is>
          <t>A</t>
        </is>
      </c>
      <c r="D7" s="7" t="n">
        <v>19.6</v>
      </c>
      <c r="E7" s="7" t="n">
        <v>24.05</v>
      </c>
      <c r="F7" s="2" t="n">
        <v>3</v>
      </c>
      <c r="G7" s="8" t="n">
        <v>5842</v>
      </c>
      <c r="H7" s="8">
        <f>G7*E7</f>
        <v/>
      </c>
      <c r="I7" s="8">
        <f>G7*(E7-D7)</f>
        <v/>
      </c>
      <c r="J7" s="8" t="n">
        <v>110</v>
      </c>
    </row>
    <row r="8">
      <c r="A8" s="2" t="inlineStr">
        <is>
          <t>P31</t>
        </is>
      </c>
      <c r="B8" s="2" t="inlineStr">
        <is>
          <t>Office</t>
        </is>
      </c>
      <c r="C8" s="2" t="inlineStr">
        <is>
          <t>B</t>
        </is>
      </c>
      <c r="D8" s="7" t="n">
        <v>19.99</v>
      </c>
      <c r="E8" s="7" t="n">
        <v>26.72</v>
      </c>
      <c r="F8" s="2" t="n">
        <v>4</v>
      </c>
      <c r="G8" s="8" t="n">
        <v>4377</v>
      </c>
      <c r="H8" s="8">
        <f>G8*E8</f>
        <v/>
      </c>
      <c r="I8" s="8">
        <f>G8*(E8-D8)</f>
        <v/>
      </c>
      <c r="J8" s="8" t="n">
        <v>68</v>
      </c>
    </row>
    <row r="9">
      <c r="A9" s="2" t="inlineStr">
        <is>
          <t>P40</t>
        </is>
      </c>
      <c r="B9" s="2" t="inlineStr">
        <is>
          <t>Garden</t>
        </is>
      </c>
      <c r="C9" s="2" t="inlineStr">
        <is>
          <t>B</t>
        </is>
      </c>
      <c r="D9" s="7" t="n">
        <v>13.59</v>
      </c>
      <c r="E9" s="7" t="n">
        <v>18.87</v>
      </c>
      <c r="F9" s="2" t="n">
        <v>4</v>
      </c>
      <c r="G9" s="8" t="n">
        <v>4173</v>
      </c>
      <c r="H9" s="8">
        <f>G9*E9</f>
        <v/>
      </c>
      <c r="I9" s="8">
        <f>G9*(E9-D9)</f>
        <v/>
      </c>
      <c r="J9" s="8" t="n">
        <v>78</v>
      </c>
    </row>
    <row r="10">
      <c r="A10" s="2" t="inlineStr">
        <is>
          <t>P07</t>
        </is>
      </c>
      <c r="B10" s="2" t="inlineStr">
        <is>
          <t>Home</t>
        </is>
      </c>
      <c r="C10" s="2" t="inlineStr">
        <is>
          <t>A</t>
        </is>
      </c>
      <c r="D10" s="7" t="n">
        <v>40</v>
      </c>
      <c r="E10" s="7" t="n">
        <v>56.67</v>
      </c>
      <c r="F10" s="2" t="n">
        <v>1</v>
      </c>
      <c r="G10" s="8" t="n">
        <v>3632</v>
      </c>
      <c r="H10" s="8">
        <f>G10*E10</f>
        <v/>
      </c>
      <c r="I10" s="8">
        <f>G10*(E10-D10)</f>
        <v/>
      </c>
      <c r="J10" s="8" t="n">
        <v>46</v>
      </c>
    </row>
    <row r="11">
      <c r="A11" s="2" t="inlineStr">
        <is>
          <t>P20</t>
        </is>
      </c>
      <c r="B11" s="2" t="inlineStr">
        <is>
          <t>Office</t>
        </is>
      </c>
      <c r="C11" s="2" t="inlineStr">
        <is>
          <t>A</t>
        </is>
      </c>
      <c r="D11" s="7" t="n">
        <v>55.24</v>
      </c>
      <c r="E11" s="7" t="n">
        <v>82.23</v>
      </c>
      <c r="F11" s="2" t="n">
        <v>2</v>
      </c>
      <c r="G11" s="8" t="n">
        <v>3583</v>
      </c>
      <c r="H11" s="8">
        <f>G11*E11</f>
        <v/>
      </c>
      <c r="I11" s="8">
        <f>G11*(E11-D11)</f>
        <v/>
      </c>
      <c r="J11" s="8" t="n">
        <v>61</v>
      </c>
    </row>
    <row r="12">
      <c r="A12" s="2" t="inlineStr">
        <is>
          <t>P15</t>
        </is>
      </c>
      <c r="B12" s="2" t="inlineStr">
        <is>
          <t>Garden</t>
        </is>
      </c>
      <c r="C12" s="2" t="inlineStr">
        <is>
          <t>A</t>
        </is>
      </c>
      <c r="D12" s="7" t="n">
        <v>40.22</v>
      </c>
      <c r="E12" s="7" t="n">
        <v>51.9</v>
      </c>
      <c r="F12" s="2" t="n">
        <v>4</v>
      </c>
      <c r="G12" s="8" t="n">
        <v>3080</v>
      </c>
      <c r="H12" s="8">
        <f>G12*E12</f>
        <v/>
      </c>
      <c r="I12" s="8">
        <f>G12*(E12-D12)</f>
        <v/>
      </c>
      <c r="J12" s="8" t="n">
        <v>72</v>
      </c>
    </row>
    <row r="13">
      <c r="A13" s="2" t="inlineStr">
        <is>
          <t>P23</t>
        </is>
      </c>
      <c r="B13" s="2" t="inlineStr">
        <is>
          <t>Home</t>
        </is>
      </c>
      <c r="C13" s="2" t="inlineStr">
        <is>
          <t>A</t>
        </is>
      </c>
      <c r="D13" s="7" t="n">
        <v>57.52</v>
      </c>
      <c r="E13" s="7" t="n">
        <v>73.61</v>
      </c>
      <c r="F13" s="2" t="n">
        <v>2</v>
      </c>
      <c r="G13" s="8" t="n">
        <v>2488</v>
      </c>
      <c r="H13" s="8">
        <f>G13*E13</f>
        <v/>
      </c>
      <c r="I13" s="8">
        <f>G13*(E13-D13)</f>
        <v/>
      </c>
      <c r="J13" s="8" t="n">
        <v>38</v>
      </c>
    </row>
    <row r="14">
      <c r="A14" s="2" t="inlineStr">
        <is>
          <t>P19</t>
        </is>
      </c>
      <c r="B14" s="2" t="inlineStr">
        <is>
          <t>Kitchen</t>
        </is>
      </c>
      <c r="C14" s="2" t="inlineStr">
        <is>
          <t>B</t>
        </is>
      </c>
      <c r="D14" s="7" t="n">
        <v>22.02</v>
      </c>
      <c r="E14" s="7" t="n">
        <v>27.2</v>
      </c>
      <c r="F14" s="2" t="n">
        <v>2</v>
      </c>
      <c r="G14" s="8" t="n">
        <v>2328</v>
      </c>
      <c r="H14" s="8">
        <f>G14*E14</f>
        <v/>
      </c>
      <c r="I14" s="8">
        <f>G14*(E14-D14)</f>
        <v/>
      </c>
      <c r="J14" s="8" t="n">
        <v>31</v>
      </c>
    </row>
    <row r="15">
      <c r="A15" s="2" t="inlineStr">
        <is>
          <t>P08</t>
        </is>
      </c>
      <c r="B15" s="2" t="inlineStr">
        <is>
          <t>Garden</t>
        </is>
      </c>
      <c r="C15" s="2" t="inlineStr">
        <is>
          <t>C</t>
        </is>
      </c>
      <c r="D15" s="7" t="n">
        <v>8.289999999999999</v>
      </c>
      <c r="E15" s="7" t="n">
        <v>11.1</v>
      </c>
      <c r="F15" s="2" t="n">
        <v>4</v>
      </c>
      <c r="G15" s="8" t="n">
        <v>2323</v>
      </c>
      <c r="H15" s="8">
        <f>G15*E15</f>
        <v/>
      </c>
      <c r="I15" s="8">
        <f>G15*(E15-D15)</f>
        <v/>
      </c>
      <c r="J15" s="8" t="n">
        <v>32</v>
      </c>
    </row>
    <row r="16">
      <c r="A16" s="2" t="inlineStr">
        <is>
          <t>P26</t>
        </is>
      </c>
      <c r="B16" s="2" t="inlineStr">
        <is>
          <t>Garden</t>
        </is>
      </c>
      <c r="C16" s="2" t="inlineStr">
        <is>
          <t>A</t>
        </is>
      </c>
      <c r="D16" s="7" t="n">
        <v>65.36</v>
      </c>
      <c r="E16" s="7" t="n">
        <v>92.48999999999999</v>
      </c>
      <c r="F16" s="2" t="n">
        <v>4</v>
      </c>
      <c r="G16" s="8" t="n">
        <v>2127</v>
      </c>
      <c r="H16" s="8">
        <f>G16*E16</f>
        <v/>
      </c>
      <c r="I16" s="8">
        <f>G16*(E16-D16)</f>
        <v/>
      </c>
      <c r="J16" s="8" t="n">
        <v>59</v>
      </c>
    </row>
    <row r="17">
      <c r="A17" s="2" t="inlineStr">
        <is>
          <t>P04</t>
        </is>
      </c>
      <c r="B17" s="2" t="inlineStr">
        <is>
          <t>Office</t>
        </is>
      </c>
      <c r="C17" s="2" t="inlineStr">
        <is>
          <t>A</t>
        </is>
      </c>
      <c r="D17" s="7" t="n">
        <v>71.98</v>
      </c>
      <c r="E17" s="7" t="n">
        <v>89.98</v>
      </c>
      <c r="F17" s="2" t="n">
        <v>2</v>
      </c>
      <c r="G17" s="8" t="n">
        <v>2061</v>
      </c>
      <c r="H17" s="8">
        <f>G17*E17</f>
        <v/>
      </c>
      <c r="I17" s="8">
        <f>G17*(E17-D17)</f>
        <v/>
      </c>
      <c r="J17" s="8" t="n">
        <v>37</v>
      </c>
    </row>
    <row r="18">
      <c r="A18" s="2" t="inlineStr">
        <is>
          <t>P05</t>
        </is>
      </c>
      <c r="B18" s="2" t="inlineStr">
        <is>
          <t>Office</t>
        </is>
      </c>
      <c r="C18" s="2" t="inlineStr">
        <is>
          <t>A</t>
        </is>
      </c>
      <c r="D18" s="7" t="n">
        <v>63.38</v>
      </c>
      <c r="E18" s="7" t="n">
        <v>76.48999999999999</v>
      </c>
      <c r="F18" s="2" t="n">
        <v>4</v>
      </c>
      <c r="G18" s="8" t="n">
        <v>2041</v>
      </c>
      <c r="H18" s="8">
        <f>G18*E18</f>
        <v/>
      </c>
      <c r="I18" s="8">
        <f>G18*(E18-D18)</f>
        <v/>
      </c>
      <c r="J18" s="8" t="n">
        <v>45</v>
      </c>
    </row>
    <row r="19">
      <c r="A19" s="2" t="inlineStr">
        <is>
          <t>P39</t>
        </is>
      </c>
      <c r="B19" s="2" t="inlineStr">
        <is>
          <t>Office</t>
        </is>
      </c>
      <c r="C19" s="2" t="inlineStr">
        <is>
          <t>B</t>
        </is>
      </c>
      <c r="D19" s="7" t="n">
        <v>15.48</v>
      </c>
      <c r="E19" s="7" t="n">
        <v>20.58</v>
      </c>
      <c r="F19" s="2" t="n">
        <v>3</v>
      </c>
      <c r="G19" s="8" t="n">
        <v>1922</v>
      </c>
      <c r="H19" s="8">
        <f>G19*E19</f>
        <v/>
      </c>
      <c r="I19" s="8">
        <f>G19*(E19-D19)</f>
        <v/>
      </c>
      <c r="J19" s="8" t="n">
        <v>31</v>
      </c>
    </row>
    <row r="20">
      <c r="A20" s="2" t="inlineStr">
        <is>
          <t>P32</t>
        </is>
      </c>
      <c r="B20" s="2" t="inlineStr">
        <is>
          <t>Home</t>
        </is>
      </c>
      <c r="C20" s="2" t="inlineStr">
        <is>
          <t>C</t>
        </is>
      </c>
      <c r="D20" s="7" t="n">
        <v>5.55</v>
      </c>
      <c r="E20" s="7" t="n">
        <v>7</v>
      </c>
      <c r="F20" s="2" t="n">
        <v>2</v>
      </c>
      <c r="G20" s="8" t="n">
        <v>1891</v>
      </c>
      <c r="H20" s="8">
        <f>G20*E20</f>
        <v/>
      </c>
      <c r="I20" s="8">
        <f>G20*(E20-D20)</f>
        <v/>
      </c>
      <c r="J20" s="8" t="n">
        <v>19</v>
      </c>
    </row>
    <row r="21">
      <c r="A21" s="2" t="inlineStr">
        <is>
          <t>P37</t>
        </is>
      </c>
      <c r="B21" s="2" t="inlineStr">
        <is>
          <t>Kitchen</t>
        </is>
      </c>
      <c r="C21" s="2" t="inlineStr">
        <is>
          <t>B</t>
        </is>
      </c>
      <c r="D21" s="7" t="n">
        <v>39.42</v>
      </c>
      <c r="E21" s="7" t="n">
        <v>56.27</v>
      </c>
      <c r="F21" s="2" t="n">
        <v>1</v>
      </c>
      <c r="G21" s="8" t="n">
        <v>1648</v>
      </c>
      <c r="H21" s="8">
        <f>G21*E21</f>
        <v/>
      </c>
      <c r="I21" s="8">
        <f>G21*(E21-D21)</f>
        <v/>
      </c>
      <c r="J21" s="8" t="n">
        <v>17</v>
      </c>
    </row>
    <row r="22">
      <c r="A22" s="2" t="inlineStr">
        <is>
          <t>P33</t>
        </is>
      </c>
      <c r="B22" s="2" t="inlineStr">
        <is>
          <t>Home</t>
        </is>
      </c>
      <c r="C22" s="2" t="inlineStr">
        <is>
          <t>A</t>
        </is>
      </c>
      <c r="D22" s="7" t="n">
        <v>64.02</v>
      </c>
      <c r="E22" s="7" t="n">
        <v>82.7</v>
      </c>
      <c r="F22" s="2" t="n">
        <v>4</v>
      </c>
      <c r="G22" s="8" t="n">
        <v>1503</v>
      </c>
      <c r="H22" s="8">
        <f>G22*E22</f>
        <v/>
      </c>
      <c r="I22" s="8">
        <f>G22*(E22-D22)</f>
        <v/>
      </c>
      <c r="J22" s="8" t="n">
        <v>30</v>
      </c>
    </row>
    <row r="23">
      <c r="A23" s="2" t="inlineStr">
        <is>
          <t>P30</t>
        </is>
      </c>
      <c r="B23" s="2" t="inlineStr">
        <is>
          <t>Office</t>
        </is>
      </c>
      <c r="C23" s="2" t="inlineStr">
        <is>
          <t>C</t>
        </is>
      </c>
      <c r="D23" s="7" t="n">
        <v>15.48</v>
      </c>
      <c r="E23" s="7" t="n">
        <v>22.77</v>
      </c>
      <c r="F23" s="2" t="n">
        <v>1</v>
      </c>
      <c r="G23" s="8" t="n">
        <v>1404</v>
      </c>
      <c r="H23" s="8">
        <f>G23*E23</f>
        <v/>
      </c>
      <c r="I23" s="8">
        <f>G23*(E23-D23)</f>
        <v/>
      </c>
      <c r="J23" s="8" t="n">
        <v>16</v>
      </c>
    </row>
    <row r="24">
      <c r="A24" s="2" t="inlineStr">
        <is>
          <t>P16</t>
        </is>
      </c>
      <c r="B24" s="2" t="inlineStr">
        <is>
          <t>Kitchen</t>
        </is>
      </c>
      <c r="C24" s="2" t="inlineStr">
        <is>
          <t>C</t>
        </is>
      </c>
      <c r="D24" s="7" t="n">
        <v>19.21</v>
      </c>
      <c r="E24" s="7" t="n">
        <v>26.68</v>
      </c>
      <c r="F24" s="2" t="n">
        <v>2</v>
      </c>
      <c r="G24" s="8" t="n">
        <v>1371</v>
      </c>
      <c r="H24" s="8">
        <f>G24*E24</f>
        <v/>
      </c>
      <c r="I24" s="8">
        <f>G24*(E24-D24)</f>
        <v/>
      </c>
      <c r="J24" s="8" t="n">
        <v>14</v>
      </c>
    </row>
    <row r="25">
      <c r="A25" s="2" t="inlineStr">
        <is>
          <t>P02</t>
        </is>
      </c>
      <c r="B25" s="2" t="inlineStr">
        <is>
          <t>Kitchen</t>
        </is>
      </c>
      <c r="C25" s="2" t="inlineStr">
        <is>
          <t>B</t>
        </is>
      </c>
      <c r="D25" s="7" t="n">
        <v>31.59</v>
      </c>
      <c r="E25" s="7" t="n">
        <v>41.76</v>
      </c>
      <c r="F25" s="2" t="n">
        <v>3</v>
      </c>
      <c r="G25" s="8" t="n">
        <v>1367</v>
      </c>
      <c r="H25" s="8">
        <f>G25*E25</f>
        <v/>
      </c>
      <c r="I25" s="8">
        <f>G25*(E25-D25)</f>
        <v/>
      </c>
      <c r="J25" s="8" t="n">
        <v>19</v>
      </c>
    </row>
    <row r="26">
      <c r="A26" s="2" t="inlineStr">
        <is>
          <t>P13</t>
        </is>
      </c>
      <c r="B26" s="2" t="inlineStr">
        <is>
          <t>Garden</t>
        </is>
      </c>
      <c r="C26" s="2" t="inlineStr">
        <is>
          <t>B</t>
        </is>
      </c>
      <c r="D26" s="7" t="n">
        <v>29.44</v>
      </c>
      <c r="E26" s="7" t="n">
        <v>39.27</v>
      </c>
      <c r="F26" s="2" t="n">
        <v>1</v>
      </c>
      <c r="G26" s="8" t="n">
        <v>1171</v>
      </c>
      <c r="H26" s="8">
        <f>G26*E26</f>
        <v/>
      </c>
      <c r="I26" s="8">
        <f>G26*(E26-D26)</f>
        <v/>
      </c>
      <c r="J26" s="8" t="n">
        <v>13</v>
      </c>
    </row>
    <row r="27">
      <c r="A27" s="2" t="inlineStr">
        <is>
          <t>P28</t>
        </is>
      </c>
      <c r="B27" s="2" t="inlineStr">
        <is>
          <t>Kitchen</t>
        </is>
      </c>
      <c r="C27" s="2" t="inlineStr">
        <is>
          <t>C</t>
        </is>
      </c>
      <c r="D27" s="7" t="n">
        <v>26.62</v>
      </c>
      <c r="E27" s="7" t="n">
        <v>34.12</v>
      </c>
      <c r="F27" s="2" t="n">
        <v>1</v>
      </c>
      <c r="G27" s="8" t="n">
        <v>1115</v>
      </c>
      <c r="H27" s="8">
        <f>G27*E27</f>
        <v/>
      </c>
      <c r="I27" s="8">
        <f>G27*(E27-D27)</f>
        <v/>
      </c>
      <c r="J27" s="8" t="n">
        <v>11</v>
      </c>
    </row>
    <row r="28">
      <c r="A28" s="2" t="inlineStr">
        <is>
          <t>P36</t>
        </is>
      </c>
      <c r="B28" s="2" t="inlineStr">
        <is>
          <t>Home</t>
        </is>
      </c>
      <c r="C28" s="2" t="inlineStr">
        <is>
          <t>B</t>
        </is>
      </c>
      <c r="D28" s="7" t="n">
        <v>63.55</v>
      </c>
      <c r="E28" s="7" t="n">
        <v>92.59</v>
      </c>
      <c r="F28" s="2" t="n">
        <v>3</v>
      </c>
      <c r="G28" s="8" t="n">
        <v>1094</v>
      </c>
      <c r="H28" s="8">
        <f>G28*E28</f>
        <v/>
      </c>
      <c r="I28" s="8">
        <f>G28*(E28-D28)</f>
        <v/>
      </c>
      <c r="J28" s="8" t="n">
        <v>16</v>
      </c>
    </row>
    <row r="29">
      <c r="A29" s="2" t="inlineStr">
        <is>
          <t>P29</t>
        </is>
      </c>
      <c r="B29" s="2" t="inlineStr">
        <is>
          <t>Garden</t>
        </is>
      </c>
      <c r="C29" s="2" t="inlineStr">
        <is>
          <t>B</t>
        </is>
      </c>
      <c r="D29" s="7" t="n">
        <v>56.19</v>
      </c>
      <c r="E29" s="7" t="n">
        <v>69.05</v>
      </c>
      <c r="F29" s="2" t="n">
        <v>4</v>
      </c>
      <c r="G29" s="8" t="n">
        <v>981</v>
      </c>
      <c r="H29" s="8">
        <f>G29*E29</f>
        <v/>
      </c>
      <c r="I29" s="8">
        <f>G29*(E29-D29)</f>
        <v/>
      </c>
      <c r="J29" s="8" t="n">
        <v>18</v>
      </c>
    </row>
    <row r="30">
      <c r="A30" s="2" t="inlineStr">
        <is>
          <t>P11</t>
        </is>
      </c>
      <c r="B30" s="2" t="inlineStr">
        <is>
          <t>Garden</t>
        </is>
      </c>
      <c r="C30" s="2" t="inlineStr">
        <is>
          <t>B</t>
        </is>
      </c>
      <c r="D30" s="7" t="n">
        <v>60.86</v>
      </c>
      <c r="E30" s="7" t="n">
        <v>75.81</v>
      </c>
      <c r="F30" s="2" t="n">
        <v>3</v>
      </c>
      <c r="G30" s="8" t="n">
        <v>924</v>
      </c>
      <c r="H30" s="8">
        <f>G30*E30</f>
        <v/>
      </c>
      <c r="I30" s="8">
        <f>G30*(E30-D30)</f>
        <v/>
      </c>
      <c r="J30" s="8" t="n">
        <v>11</v>
      </c>
    </row>
    <row r="31">
      <c r="A31" s="2" t="inlineStr">
        <is>
          <t>P27</t>
        </is>
      </c>
      <c r="B31" s="2" t="inlineStr">
        <is>
          <t>Office</t>
        </is>
      </c>
      <c r="C31" s="2" t="inlineStr">
        <is>
          <t>C</t>
        </is>
      </c>
      <c r="D31" s="7" t="n">
        <v>34.06</v>
      </c>
      <c r="E31" s="7" t="n">
        <v>45.46</v>
      </c>
      <c r="F31" s="2" t="n">
        <v>1</v>
      </c>
      <c r="G31" s="8" t="n">
        <v>791</v>
      </c>
      <c r="H31" s="8">
        <f>G31*E31</f>
        <v/>
      </c>
      <c r="I31" s="8">
        <f>G31*(E31-D31)</f>
        <v/>
      </c>
      <c r="J31" s="8" t="n">
        <v>10</v>
      </c>
    </row>
    <row r="32">
      <c r="A32" s="2" t="inlineStr">
        <is>
          <t>P12</t>
        </is>
      </c>
      <c r="B32" s="2" t="inlineStr">
        <is>
          <t>Kitchen</t>
        </is>
      </c>
      <c r="C32" s="2" t="inlineStr">
        <is>
          <t>B</t>
        </is>
      </c>
      <c r="D32" s="7" t="n">
        <v>77.56</v>
      </c>
      <c r="E32" s="7" t="n">
        <v>109.27</v>
      </c>
      <c r="F32" s="2" t="n">
        <v>3</v>
      </c>
      <c r="G32" s="8" t="n">
        <v>762</v>
      </c>
      <c r="H32" s="8">
        <f>G32*E32</f>
        <v/>
      </c>
      <c r="I32" s="8">
        <f>G32*(E32-D32)</f>
        <v/>
      </c>
      <c r="J32" s="8" t="n">
        <v>12</v>
      </c>
    </row>
    <row r="33">
      <c r="A33" s="2" t="inlineStr">
        <is>
          <t>P24</t>
        </is>
      </c>
      <c r="B33" s="2" t="inlineStr">
        <is>
          <t>Kitchen</t>
        </is>
      </c>
      <c r="C33" s="2" t="inlineStr">
        <is>
          <t>C</t>
        </is>
      </c>
      <c r="D33" s="7" t="n">
        <v>28.43</v>
      </c>
      <c r="E33" s="7" t="n">
        <v>42.38</v>
      </c>
      <c r="F33" s="2" t="n">
        <v>2</v>
      </c>
      <c r="G33" s="8" t="n">
        <v>728</v>
      </c>
      <c r="H33" s="8">
        <f>G33*E33</f>
        <v/>
      </c>
      <c r="I33" s="8">
        <f>G33*(E33-D33)</f>
        <v/>
      </c>
      <c r="J33" s="8" t="n">
        <v>8</v>
      </c>
    </row>
    <row r="34">
      <c r="A34" s="2" t="inlineStr">
        <is>
          <t>P03</t>
        </is>
      </c>
      <c r="B34" s="2" t="inlineStr">
        <is>
          <t>Garden</t>
        </is>
      </c>
      <c r="C34" s="2" t="inlineStr">
        <is>
          <t>B</t>
        </is>
      </c>
      <c r="D34" s="7" t="n">
        <v>77.8</v>
      </c>
      <c r="E34" s="7" t="n">
        <v>112.36</v>
      </c>
      <c r="F34" s="2" t="n">
        <v>3</v>
      </c>
      <c r="G34" s="8" t="n">
        <v>688</v>
      </c>
      <c r="H34" s="8">
        <f>G34*E34</f>
        <v/>
      </c>
      <c r="I34" s="8">
        <f>G34*(E34-D34)</f>
        <v/>
      </c>
      <c r="J34" s="8" t="n">
        <v>11</v>
      </c>
    </row>
    <row r="35">
      <c r="A35" s="2" t="inlineStr">
        <is>
          <t>P18</t>
        </is>
      </c>
      <c r="B35" s="2" t="inlineStr">
        <is>
          <t>Home</t>
        </is>
      </c>
      <c r="C35" s="2" t="inlineStr">
        <is>
          <t>C</t>
        </is>
      </c>
      <c r="D35" s="7" t="n">
        <v>40.68</v>
      </c>
      <c r="E35" s="7" t="n">
        <v>49.89</v>
      </c>
      <c r="F35" s="2" t="n">
        <v>1</v>
      </c>
      <c r="G35" s="8" t="n">
        <v>684</v>
      </c>
      <c r="H35" s="8">
        <f>G35*E35</f>
        <v/>
      </c>
      <c r="I35" s="8">
        <f>G35*(E35-D35)</f>
        <v/>
      </c>
      <c r="J35" s="8" t="n">
        <v>6</v>
      </c>
    </row>
    <row r="36">
      <c r="A36" s="2" t="inlineStr">
        <is>
          <t>P34</t>
        </is>
      </c>
      <c r="B36" s="2" t="inlineStr">
        <is>
          <t>Garden</t>
        </is>
      </c>
      <c r="C36" s="2" t="inlineStr">
        <is>
          <t>B</t>
        </is>
      </c>
      <c r="D36" s="7" t="n">
        <v>54.86</v>
      </c>
      <c r="E36" s="7" t="n">
        <v>75.36</v>
      </c>
      <c r="F36" s="2" t="n">
        <v>2</v>
      </c>
      <c r="G36" s="8" t="n">
        <v>623</v>
      </c>
      <c r="H36" s="8">
        <f>G36*E36</f>
        <v/>
      </c>
      <c r="I36" s="8">
        <f>G36*(E36-D36)</f>
        <v/>
      </c>
      <c r="J36" s="8" t="n">
        <v>11</v>
      </c>
    </row>
    <row r="37">
      <c r="A37" s="2" t="inlineStr">
        <is>
          <t>P10</t>
        </is>
      </c>
      <c r="B37" s="2" t="inlineStr">
        <is>
          <t>Home</t>
        </is>
      </c>
      <c r="C37" s="2" t="inlineStr">
        <is>
          <t>B</t>
        </is>
      </c>
      <c r="D37" s="7" t="n">
        <v>56.23</v>
      </c>
      <c r="E37" s="7" t="n">
        <v>75.93000000000001</v>
      </c>
      <c r="F37" s="2" t="n">
        <v>3</v>
      </c>
      <c r="G37" s="8" t="n">
        <v>566</v>
      </c>
      <c r="H37" s="8">
        <f>G37*E37</f>
        <v/>
      </c>
      <c r="I37" s="8">
        <f>G37*(E37-D37)</f>
        <v/>
      </c>
      <c r="J37" s="8" t="n">
        <v>9</v>
      </c>
    </row>
    <row r="38">
      <c r="A38" s="2" t="inlineStr">
        <is>
          <t>P14</t>
        </is>
      </c>
      <c r="B38" s="2" t="inlineStr">
        <is>
          <t>Kitchen</t>
        </is>
      </c>
      <c r="C38" s="2" t="inlineStr">
        <is>
          <t>C</t>
        </is>
      </c>
      <c r="D38" s="7" t="n">
        <v>32.78</v>
      </c>
      <c r="E38" s="7" t="n">
        <v>43.08</v>
      </c>
      <c r="F38" s="2" t="n">
        <v>3</v>
      </c>
      <c r="G38" s="8" t="n">
        <v>518</v>
      </c>
      <c r="H38" s="8">
        <f>G38*E38</f>
        <v/>
      </c>
      <c r="I38" s="8">
        <f>G38*(E38-D38)</f>
        <v/>
      </c>
      <c r="J38" s="8" t="n">
        <v>7</v>
      </c>
    </row>
    <row r="39">
      <c r="A39" s="2" t="inlineStr">
        <is>
          <t>P17</t>
        </is>
      </c>
      <c r="B39" s="2" t="inlineStr">
        <is>
          <t>Garden</t>
        </is>
      </c>
      <c r="C39" s="2" t="inlineStr">
        <is>
          <t>C</t>
        </is>
      </c>
      <c r="D39" s="7" t="n">
        <v>14.74</v>
      </c>
      <c r="E39" s="7" t="n">
        <v>19.29</v>
      </c>
      <c r="F39" s="2" t="n">
        <v>3</v>
      </c>
      <c r="G39" s="8" t="n">
        <v>470</v>
      </c>
      <c r="H39" s="8">
        <f>G39*E39</f>
        <v/>
      </c>
      <c r="I39" s="8">
        <f>G39*(E39-D39)</f>
        <v/>
      </c>
      <c r="J39" s="8" t="n">
        <v>6</v>
      </c>
    </row>
    <row r="40">
      <c r="A40" s="2" t="inlineStr">
        <is>
          <t>P35</t>
        </is>
      </c>
      <c r="B40" s="2" t="inlineStr">
        <is>
          <t>Kitchen</t>
        </is>
      </c>
      <c r="C40" s="2" t="inlineStr">
        <is>
          <t>C</t>
        </is>
      </c>
      <c r="D40" s="7" t="n">
        <v>57.89</v>
      </c>
      <c r="E40" s="7" t="n">
        <v>72.54000000000001</v>
      </c>
      <c r="F40" s="2" t="n">
        <v>2</v>
      </c>
      <c r="G40" s="8" t="n">
        <v>329</v>
      </c>
      <c r="H40" s="8">
        <f>G40*E40</f>
        <v/>
      </c>
      <c r="I40" s="8">
        <f>G40*(E40-D40)</f>
        <v/>
      </c>
      <c r="J40" s="8" t="n">
        <v>4</v>
      </c>
    </row>
    <row r="41">
      <c r="A41" s="2" t="inlineStr">
        <is>
          <t>P25</t>
        </is>
      </c>
      <c r="B41" s="2" t="inlineStr">
        <is>
          <t>Kitchen</t>
        </is>
      </c>
      <c r="C41" s="2" t="inlineStr">
        <is>
          <t>C</t>
        </is>
      </c>
      <c r="D41" s="7" t="n">
        <v>67.42</v>
      </c>
      <c r="E41" s="7" t="n">
        <v>96.66</v>
      </c>
      <c r="F41" s="2" t="n">
        <v>4</v>
      </c>
      <c r="G41" s="8" t="n">
        <v>273</v>
      </c>
      <c r="H41" s="8">
        <f>G41*E41</f>
        <v/>
      </c>
      <c r="I41" s="8">
        <f>G41*(E41-D41)</f>
        <v/>
      </c>
      <c r="J41" s="8" t="n">
        <v>4</v>
      </c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3" customWidth="1" min="5" max="5"/>
    <col width="14" customWidth="1" min="6" max="6"/>
    <col width="12" customWidth="1" min="7" max="7"/>
  </cols>
  <sheetData>
    <row r="1">
      <c r="A1" s="9" t="inlineStr">
        <is>
          <t>Holding cost (share of stock value per year)</t>
        </is>
      </c>
      <c r="B1" s="10" t="n">
        <v>0.2</v>
      </c>
      <c r="C1" s="2" t="n"/>
      <c r="D1" s="2" t="n"/>
      <c r="E1" s="2" t="n"/>
      <c r="F1" s="2" t="n"/>
      <c r="G1" s="2" t="n"/>
    </row>
    <row r="2">
      <c r="A2" s="11" t="inlineStr">
        <is>
          <t>Blue/yellow cell = assumption. Change it and the costs below recalculate.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Policy</t>
        </is>
      </c>
      <c r="B3" s="6" t="inlineStr">
        <is>
          <t>Lost revenue</t>
        </is>
      </c>
      <c r="C3" s="6" t="inlineStr">
        <is>
          <t>Stock value</t>
        </is>
      </c>
      <c r="D3" s="6" t="inlineStr">
        <is>
          <t>Fill rate %</t>
        </is>
      </c>
      <c r="E3" s="6" t="inlineStr">
        <is>
          <t>Lost profit</t>
        </is>
      </c>
      <c r="F3" s="6" t="inlineStr">
        <is>
          <t>Holding cost</t>
        </is>
      </c>
      <c r="G3" s="6" t="inlineStr">
        <is>
          <t>Total cost</t>
        </is>
      </c>
    </row>
    <row r="4">
      <c r="A4" s="2" t="inlineStr">
        <is>
          <t>1. Average demand, no safety stock (Lesson 3)</t>
        </is>
      </c>
      <c r="B4" s="8" t="n">
        <v>100622</v>
      </c>
      <c r="C4" s="8" t="n">
        <v>109683</v>
      </c>
      <c r="D4" s="12" t="n">
        <v>98.2</v>
      </c>
      <c r="E4" s="8" t="n">
        <v>28634</v>
      </c>
      <c r="F4" s="8">
        <f>C4*$B$1</f>
        <v/>
      </c>
      <c r="G4" s="8">
        <f>E4+F4</f>
        <v/>
      </c>
    </row>
    <row r="5">
      <c r="A5" s="2" t="inlineStr">
        <is>
          <t>2. Seasonal forecast, no safety stock</t>
        </is>
      </c>
      <c r="B5" s="8" t="n">
        <v>14429</v>
      </c>
      <c r="C5" s="8" t="n">
        <v>98394</v>
      </c>
      <c r="D5" s="12" t="n">
        <v>99.8</v>
      </c>
      <c r="E5" s="8" t="n">
        <v>4167</v>
      </c>
      <c r="F5" s="8">
        <f>C5*$B$1</f>
        <v/>
      </c>
      <c r="G5" s="8">
        <f>E5+F5</f>
        <v/>
      </c>
    </row>
    <row r="6">
      <c r="A6" s="2" t="inlineStr">
        <is>
          <t>3. Seasonal forecast + safety stock by class</t>
        </is>
      </c>
      <c r="B6" s="8" t="n">
        <v>53</v>
      </c>
      <c r="C6" s="8" t="n">
        <v>180519</v>
      </c>
      <c r="D6" s="12" t="n">
        <v>100</v>
      </c>
      <c r="E6" s="8" t="n">
        <v>13</v>
      </c>
      <c r="F6" s="8">
        <f>C6*$B$1</f>
        <v/>
      </c>
      <c r="G6" s="8">
        <f>E6+F6</f>
        <v/>
      </c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11" t="inlineStr">
        <is>
          <t>Lost profit = lost units x (price - cost). Holding cost = average stock value x holding rate.</t>
        </is>
      </c>
      <c r="B8" s="2" t="n"/>
      <c r="C8" s="2" t="n"/>
      <c r="D8" s="2" t="n"/>
      <c r="E8" s="2" t="n"/>
      <c r="F8" s="2" t="n"/>
      <c r="G8" s="2" t="n"/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46" customWidth="1" min="3" max="3"/>
    <col width="46" customWidth="1" min="4" max="4"/>
    <col width="21" customWidth="1" min="5" max="5"/>
    <col width="46" customWidth="1" min="6" max="6"/>
  </cols>
  <sheetData>
    <row r="1">
      <c r="A1" s="6" t="inlineStr">
        <is>
          <t>Class</t>
        </is>
      </c>
      <c r="B1" s="6" t="inlineStr">
        <is>
          <t>Products</t>
        </is>
      </c>
      <c r="C1" s="6" t="inlineStr">
        <is>
          <t>Units sold</t>
        </is>
      </c>
      <c r="D1" s="6" t="inlineStr">
        <is>
          <t>Revenue</t>
        </is>
      </c>
      <c r="E1" s="6" t="inlineStr">
        <is>
          <t>Share of revenue</t>
        </is>
      </c>
      <c r="F1" s="6" t="inlineStr">
        <is>
          <t>Safety stock (units)</t>
        </is>
      </c>
    </row>
    <row r="2">
      <c r="A2" s="2" t="inlineStr">
        <is>
          <t>A</t>
        </is>
      </c>
      <c r="B2" s="2">
        <f>COUNTIF(Products!$C$2:$C$41,A2)</f>
        <v/>
      </c>
      <c r="C2" s="8">
        <f>SUMIFS(Products!$G$2:$G$41,Products!$C$2:$C$41,A2)</f>
        <v/>
      </c>
      <c r="D2" s="8">
        <f>SUMIFS(Products!$H$2:$H$41,Products!$C$2:$C$41,A2)</f>
        <v/>
      </c>
      <c r="E2" s="13">
        <f>IFERROR(D2/$D$5,0)</f>
        <v/>
      </c>
      <c r="F2" s="8">
        <f>SUMIFS(Products!$J$2:$J$41,Products!$C$2:$C$41,A2)</f>
        <v/>
      </c>
    </row>
    <row r="3">
      <c r="A3" s="2" t="inlineStr">
        <is>
          <t>B</t>
        </is>
      </c>
      <c r="B3" s="2">
        <f>COUNTIF(Products!$C$2:$C$41,A3)</f>
        <v/>
      </c>
      <c r="C3" s="8">
        <f>SUMIFS(Products!$G$2:$G$41,Products!$C$2:$C$41,A3)</f>
        <v/>
      </c>
      <c r="D3" s="8">
        <f>SUMIFS(Products!$H$2:$H$41,Products!$C$2:$C$41,A3)</f>
        <v/>
      </c>
      <c r="E3" s="13">
        <f>IFERROR(D3/$D$5,0)</f>
        <v/>
      </c>
      <c r="F3" s="8">
        <f>SUMIFS(Products!$J$2:$J$41,Products!$C$2:$C$41,A3)</f>
        <v/>
      </c>
    </row>
    <row r="4">
      <c r="A4" s="2" t="inlineStr">
        <is>
          <t>C</t>
        </is>
      </c>
      <c r="B4" s="2">
        <f>COUNTIF(Products!$C$2:$C$41,A4)</f>
        <v/>
      </c>
      <c r="C4" s="8">
        <f>SUMIFS(Products!$G$2:$G$41,Products!$C$2:$C$41,A4)</f>
        <v/>
      </c>
      <c r="D4" s="8">
        <f>SUMIFS(Products!$H$2:$H$41,Products!$C$2:$C$41,A4)</f>
        <v/>
      </c>
      <c r="E4" s="13">
        <f>IFERROR(D4/$D$5,0)</f>
        <v/>
      </c>
      <c r="F4" s="8">
        <f>SUMIFS(Products!$J$2:$J$41,Products!$C$2:$C$41,A4)</f>
        <v/>
      </c>
    </row>
    <row r="5">
      <c r="A5" s="9" t="inlineStr">
        <is>
          <t>Total</t>
        </is>
      </c>
      <c r="B5" s="9">
        <f>SUM(B2:B4)</f>
        <v/>
      </c>
      <c r="C5" s="4">
        <f>SUM(C2:C4)</f>
        <v/>
      </c>
      <c r="D5" s="4">
        <f>SUM(D2:D4)</f>
        <v/>
      </c>
      <c r="E5" s="5">
        <f>SUM(E2:E4)</f>
        <v/>
      </c>
      <c r="F5" s="4">
        <f>SUM(F2:F4)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6" t="inlineStr">
        <is>
          <t>Week</t>
        </is>
      </c>
      <c r="B1" s="6" t="inlineStr">
        <is>
          <t>Garden</t>
        </is>
      </c>
      <c r="C1" s="6" t="inlineStr">
        <is>
          <t>Home</t>
        </is>
      </c>
      <c r="D1" s="6" t="inlineStr">
        <is>
          <t>Kitchen</t>
        </is>
      </c>
      <c r="E1" s="6" t="inlineStr">
        <is>
          <t>Office</t>
        </is>
      </c>
    </row>
    <row r="2">
      <c r="A2" s="2" t="n">
        <v>1</v>
      </c>
      <c r="B2" s="2" t="n">
        <v>366</v>
      </c>
      <c r="C2" s="2" t="n">
        <v>465</v>
      </c>
      <c r="D2" s="2" t="n">
        <v>347</v>
      </c>
      <c r="E2" s="2" t="n">
        <v>860</v>
      </c>
    </row>
    <row r="3">
      <c r="A3" s="2" t="n">
        <v>2</v>
      </c>
      <c r="B3" s="2" t="n">
        <v>272</v>
      </c>
      <c r="C3" s="2" t="n">
        <v>387</v>
      </c>
      <c r="D3" s="2" t="n">
        <v>414</v>
      </c>
      <c r="E3" s="2" t="n">
        <v>861</v>
      </c>
    </row>
    <row r="4">
      <c r="A4" s="2" t="n">
        <v>3</v>
      </c>
      <c r="B4" s="2" t="n">
        <v>321</v>
      </c>
      <c r="C4" s="2" t="n">
        <v>436</v>
      </c>
      <c r="D4" s="2" t="n">
        <v>440</v>
      </c>
      <c r="E4" s="2" t="n">
        <v>705</v>
      </c>
    </row>
    <row r="5">
      <c r="A5" s="2" t="n">
        <v>4</v>
      </c>
      <c r="B5" s="2" t="n">
        <v>321</v>
      </c>
      <c r="C5" s="2" t="n">
        <v>458</v>
      </c>
      <c r="D5" s="2" t="n">
        <v>410</v>
      </c>
      <c r="E5" s="2" t="n">
        <v>765</v>
      </c>
    </row>
    <row r="6">
      <c r="A6" s="2" t="n">
        <v>5</v>
      </c>
      <c r="B6" s="2" t="n">
        <v>407</v>
      </c>
      <c r="C6" s="2" t="n">
        <v>547</v>
      </c>
      <c r="D6" s="2" t="n">
        <v>400</v>
      </c>
      <c r="E6" s="2" t="n">
        <v>666</v>
      </c>
    </row>
    <row r="7">
      <c r="A7" s="2" t="n">
        <v>6</v>
      </c>
      <c r="B7" s="2" t="n">
        <v>375</v>
      </c>
      <c r="C7" s="2" t="n">
        <v>483</v>
      </c>
      <c r="D7" s="2" t="n">
        <v>402</v>
      </c>
      <c r="E7" s="2" t="n">
        <v>744</v>
      </c>
    </row>
    <row r="8">
      <c r="A8" s="2" t="n">
        <v>7</v>
      </c>
      <c r="B8" s="2" t="n">
        <v>393</v>
      </c>
      <c r="C8" s="2" t="n">
        <v>392</v>
      </c>
      <c r="D8" s="2" t="n">
        <v>409</v>
      </c>
      <c r="E8" s="2" t="n">
        <v>887</v>
      </c>
    </row>
    <row r="9">
      <c r="A9" s="2" t="n">
        <v>8</v>
      </c>
      <c r="B9" s="2" t="n">
        <v>448</v>
      </c>
      <c r="C9" s="2" t="n">
        <v>389</v>
      </c>
      <c r="D9" s="2" t="n">
        <v>480</v>
      </c>
      <c r="E9" s="2" t="n">
        <v>764</v>
      </c>
    </row>
    <row r="10">
      <c r="A10" s="2" t="n">
        <v>9</v>
      </c>
      <c r="B10" s="2" t="n">
        <v>439</v>
      </c>
      <c r="C10" s="2" t="n">
        <v>489</v>
      </c>
      <c r="D10" s="2" t="n">
        <v>486</v>
      </c>
      <c r="E10" s="2" t="n">
        <v>996</v>
      </c>
    </row>
    <row r="11">
      <c r="A11" s="2" t="n">
        <v>10</v>
      </c>
      <c r="B11" s="2" t="n">
        <v>441</v>
      </c>
      <c r="C11" s="2" t="n">
        <v>537</v>
      </c>
      <c r="D11" s="2" t="n">
        <v>533</v>
      </c>
      <c r="E11" s="2" t="n">
        <v>723</v>
      </c>
    </row>
    <row r="12">
      <c r="A12" s="2" t="n">
        <v>11</v>
      </c>
      <c r="B12" s="2" t="n">
        <v>634</v>
      </c>
      <c r="C12" s="2" t="n">
        <v>508</v>
      </c>
      <c r="D12" s="2" t="n">
        <v>462</v>
      </c>
      <c r="E12" s="2" t="n">
        <v>904</v>
      </c>
    </row>
    <row r="13">
      <c r="A13" s="2" t="n">
        <v>12</v>
      </c>
      <c r="B13" s="2" t="n">
        <v>586</v>
      </c>
      <c r="C13" s="2" t="n">
        <v>599</v>
      </c>
      <c r="D13" s="2" t="n">
        <v>551</v>
      </c>
      <c r="E13" s="2" t="n">
        <v>793</v>
      </c>
    </row>
    <row r="14">
      <c r="A14" s="2" t="n">
        <v>13</v>
      </c>
      <c r="B14" s="2" t="n">
        <v>628</v>
      </c>
      <c r="C14" s="2" t="n">
        <v>438</v>
      </c>
      <c r="D14" s="2" t="n">
        <v>476</v>
      </c>
      <c r="E14" s="2" t="n">
        <v>819</v>
      </c>
    </row>
    <row r="15">
      <c r="A15" s="2" t="n">
        <v>14</v>
      </c>
      <c r="B15" s="2" t="n">
        <v>602</v>
      </c>
      <c r="C15" s="2" t="n">
        <v>541</v>
      </c>
      <c r="D15" s="2" t="n">
        <v>556</v>
      </c>
      <c r="E15" s="2" t="n">
        <v>713</v>
      </c>
    </row>
    <row r="16">
      <c r="A16" s="2" t="n">
        <v>15</v>
      </c>
      <c r="B16" s="2" t="n">
        <v>652</v>
      </c>
      <c r="C16" s="2" t="n">
        <v>514</v>
      </c>
      <c r="D16" s="2" t="n">
        <v>592</v>
      </c>
      <c r="E16" s="2" t="n">
        <v>737</v>
      </c>
    </row>
    <row r="17">
      <c r="A17" s="2" t="n">
        <v>16</v>
      </c>
      <c r="B17" s="2" t="n">
        <v>632</v>
      </c>
      <c r="C17" s="2" t="n">
        <v>555</v>
      </c>
      <c r="D17" s="2" t="n">
        <v>470</v>
      </c>
      <c r="E17" s="2" t="n">
        <v>753</v>
      </c>
    </row>
    <row r="18">
      <c r="A18" s="2" t="n">
        <v>17</v>
      </c>
      <c r="B18" s="2" t="n">
        <v>501</v>
      </c>
      <c r="C18" s="2" t="n">
        <v>438</v>
      </c>
      <c r="D18" s="2" t="n">
        <v>535</v>
      </c>
      <c r="E18" s="2" t="n">
        <v>687</v>
      </c>
    </row>
    <row r="19">
      <c r="A19" s="2" t="n">
        <v>18</v>
      </c>
      <c r="B19" s="2" t="n">
        <v>663</v>
      </c>
      <c r="C19" s="2" t="n">
        <v>554</v>
      </c>
      <c r="D19" s="2" t="n">
        <v>664</v>
      </c>
      <c r="E19" s="2" t="n">
        <v>885</v>
      </c>
    </row>
    <row r="20">
      <c r="A20" s="2" t="n">
        <v>19</v>
      </c>
      <c r="B20" s="2" t="n">
        <v>622</v>
      </c>
      <c r="C20" s="2" t="n">
        <v>632</v>
      </c>
      <c r="D20" s="2" t="n">
        <v>565</v>
      </c>
      <c r="E20" s="2" t="n">
        <v>790</v>
      </c>
    </row>
    <row r="21">
      <c r="A21" s="2" t="n">
        <v>20</v>
      </c>
      <c r="B21" s="2" t="n">
        <v>569</v>
      </c>
      <c r="C21" s="2" t="n">
        <v>510</v>
      </c>
      <c r="D21" s="2" t="n">
        <v>451</v>
      </c>
      <c r="E21" s="2" t="n">
        <v>838</v>
      </c>
    </row>
    <row r="22">
      <c r="A22" s="2" t="n">
        <v>21</v>
      </c>
      <c r="B22" s="2" t="n">
        <v>665</v>
      </c>
      <c r="C22" s="2" t="n">
        <v>501</v>
      </c>
      <c r="D22" s="2" t="n">
        <v>535</v>
      </c>
      <c r="E22" s="2" t="n">
        <v>1026</v>
      </c>
    </row>
    <row r="23">
      <c r="A23" s="2" t="n">
        <v>22</v>
      </c>
      <c r="B23" s="2" t="n">
        <v>905</v>
      </c>
      <c r="C23" s="2" t="n">
        <v>526</v>
      </c>
      <c r="D23" s="2" t="n">
        <v>636</v>
      </c>
      <c r="E23" s="2" t="n">
        <v>1022</v>
      </c>
    </row>
    <row r="24">
      <c r="A24" s="2" t="n">
        <v>23</v>
      </c>
      <c r="B24" s="2" t="n">
        <v>796</v>
      </c>
      <c r="C24" s="2" t="n">
        <v>561</v>
      </c>
      <c r="D24" s="2" t="n">
        <v>620</v>
      </c>
      <c r="E24" s="2" t="n">
        <v>753</v>
      </c>
    </row>
    <row r="25">
      <c r="A25" s="2" t="n">
        <v>24</v>
      </c>
      <c r="B25" s="2" t="n">
        <v>859</v>
      </c>
      <c r="C25" s="2" t="n">
        <v>577</v>
      </c>
      <c r="D25" s="2" t="n">
        <v>622</v>
      </c>
      <c r="E25" s="2" t="n">
        <v>865</v>
      </c>
    </row>
    <row r="26">
      <c r="A26" s="2" t="n">
        <v>25</v>
      </c>
      <c r="B26" s="2" t="n">
        <v>807</v>
      </c>
      <c r="C26" s="2" t="n">
        <v>518</v>
      </c>
      <c r="D26" s="2" t="n">
        <v>658</v>
      </c>
      <c r="E26" s="2" t="n">
        <v>725</v>
      </c>
    </row>
    <row r="27">
      <c r="A27" s="2" t="n">
        <v>26</v>
      </c>
      <c r="B27" s="2" t="n">
        <v>828</v>
      </c>
      <c r="C27" s="2" t="n">
        <v>509</v>
      </c>
      <c r="D27" s="2" t="n">
        <v>588</v>
      </c>
      <c r="E27" s="2" t="n">
        <v>730</v>
      </c>
    </row>
    <row r="28">
      <c r="A28" s="2" t="n">
        <v>27</v>
      </c>
      <c r="B28" s="2" t="n">
        <v>753</v>
      </c>
      <c r="C28" s="2" t="n">
        <v>531</v>
      </c>
      <c r="D28" s="2" t="n">
        <v>502</v>
      </c>
      <c r="E28" s="2" t="n">
        <v>709</v>
      </c>
    </row>
    <row r="29">
      <c r="A29" s="2" t="n">
        <v>28</v>
      </c>
      <c r="B29" s="2" t="n">
        <v>812</v>
      </c>
      <c r="C29" s="2" t="n">
        <v>585</v>
      </c>
      <c r="D29" s="2" t="n">
        <v>488</v>
      </c>
      <c r="E29" s="2" t="n">
        <v>949</v>
      </c>
    </row>
    <row r="30">
      <c r="A30" s="2" t="n">
        <v>29</v>
      </c>
      <c r="B30" s="2" t="n">
        <v>760</v>
      </c>
      <c r="C30" s="2" t="n">
        <v>508</v>
      </c>
      <c r="D30" s="2" t="n">
        <v>589</v>
      </c>
      <c r="E30" s="2" t="n">
        <v>838</v>
      </c>
    </row>
    <row r="31">
      <c r="A31" s="2" t="n">
        <v>30</v>
      </c>
      <c r="B31" s="2" t="n">
        <v>676</v>
      </c>
      <c r="C31" s="2" t="n">
        <v>407</v>
      </c>
      <c r="D31" s="2" t="n">
        <v>538</v>
      </c>
      <c r="E31" s="2" t="n">
        <v>771</v>
      </c>
    </row>
    <row r="32">
      <c r="A32" s="2" t="n">
        <v>31</v>
      </c>
      <c r="B32" s="2" t="n">
        <v>744</v>
      </c>
      <c r="C32" s="2" t="n">
        <v>487</v>
      </c>
      <c r="D32" s="2" t="n">
        <v>606</v>
      </c>
      <c r="E32" s="2" t="n">
        <v>935</v>
      </c>
    </row>
    <row r="33">
      <c r="A33" s="2" t="n">
        <v>32</v>
      </c>
      <c r="B33" s="2" t="n">
        <v>704</v>
      </c>
      <c r="C33" s="2" t="n">
        <v>622</v>
      </c>
      <c r="D33" s="2" t="n">
        <v>559</v>
      </c>
      <c r="E33" s="2" t="n">
        <v>574</v>
      </c>
    </row>
    <row r="34">
      <c r="A34" s="2" t="n">
        <v>33</v>
      </c>
      <c r="B34" s="2" t="n">
        <v>578</v>
      </c>
      <c r="C34" s="2" t="n">
        <v>584</v>
      </c>
      <c r="D34" s="2" t="n">
        <v>550</v>
      </c>
      <c r="E34" s="2" t="n">
        <v>557</v>
      </c>
    </row>
    <row r="35">
      <c r="A35" s="2" t="n">
        <v>34</v>
      </c>
      <c r="B35" s="2" t="n">
        <v>469</v>
      </c>
      <c r="C35" s="2" t="n">
        <v>510</v>
      </c>
      <c r="D35" s="2" t="n">
        <v>498</v>
      </c>
      <c r="E35" s="2" t="n">
        <v>851</v>
      </c>
    </row>
    <row r="36">
      <c r="A36" s="2" t="n">
        <v>35</v>
      </c>
      <c r="B36" s="2" t="n">
        <v>460</v>
      </c>
      <c r="C36" s="2" t="n">
        <v>388</v>
      </c>
      <c r="D36" s="2" t="n">
        <v>568</v>
      </c>
      <c r="E36" s="2" t="n">
        <v>720</v>
      </c>
    </row>
    <row r="37">
      <c r="A37" s="2" t="n">
        <v>36</v>
      </c>
      <c r="B37" s="2" t="n">
        <v>473</v>
      </c>
      <c r="C37" s="2" t="n">
        <v>559</v>
      </c>
      <c r="D37" s="2" t="n">
        <v>504</v>
      </c>
      <c r="E37" s="2" t="n">
        <v>810</v>
      </c>
    </row>
    <row r="38">
      <c r="A38" s="2" t="n">
        <v>37</v>
      </c>
      <c r="B38" s="2" t="n">
        <v>480</v>
      </c>
      <c r="C38" s="2" t="n">
        <v>503</v>
      </c>
      <c r="D38" s="2" t="n">
        <v>464</v>
      </c>
      <c r="E38" s="2" t="n">
        <v>626</v>
      </c>
    </row>
    <row r="39">
      <c r="A39" s="2" t="n">
        <v>38</v>
      </c>
      <c r="B39" s="2" t="n">
        <v>381</v>
      </c>
      <c r="C39" s="2" t="n">
        <v>457</v>
      </c>
      <c r="D39" s="2" t="n">
        <v>482</v>
      </c>
      <c r="E39" s="2" t="n">
        <v>761</v>
      </c>
    </row>
    <row r="40">
      <c r="A40" s="2" t="n">
        <v>39</v>
      </c>
      <c r="B40" s="2" t="n">
        <v>414</v>
      </c>
      <c r="C40" s="2" t="n">
        <v>442</v>
      </c>
      <c r="D40" s="2" t="n">
        <v>500</v>
      </c>
      <c r="E40" s="2" t="n">
        <v>1021</v>
      </c>
    </row>
    <row r="41">
      <c r="A41" s="2" t="n">
        <v>40</v>
      </c>
      <c r="B41" s="2" t="n">
        <v>440</v>
      </c>
      <c r="C41" s="2" t="n">
        <v>477</v>
      </c>
      <c r="D41" s="2" t="n">
        <v>421</v>
      </c>
      <c r="E41" s="2" t="n">
        <v>880</v>
      </c>
    </row>
    <row r="42">
      <c r="A42" s="2" t="n">
        <v>41</v>
      </c>
      <c r="B42" s="2" t="n">
        <v>400</v>
      </c>
      <c r="C42" s="2" t="n">
        <v>413</v>
      </c>
      <c r="D42" s="2" t="n">
        <v>381</v>
      </c>
      <c r="E42" s="2" t="n">
        <v>746</v>
      </c>
    </row>
    <row r="43">
      <c r="A43" s="2" t="n">
        <v>42</v>
      </c>
      <c r="B43" s="2" t="n">
        <v>376</v>
      </c>
      <c r="C43" s="2" t="n">
        <v>402</v>
      </c>
      <c r="D43" s="2" t="n">
        <v>408</v>
      </c>
      <c r="E43" s="2" t="n">
        <v>717</v>
      </c>
    </row>
    <row r="44">
      <c r="A44" s="2" t="n">
        <v>43</v>
      </c>
      <c r="B44" s="2" t="n">
        <v>388</v>
      </c>
      <c r="C44" s="2" t="n">
        <v>481</v>
      </c>
      <c r="D44" s="2" t="n">
        <v>394</v>
      </c>
      <c r="E44" s="2" t="n">
        <v>679</v>
      </c>
    </row>
    <row r="45">
      <c r="A45" s="2" t="n">
        <v>44</v>
      </c>
      <c r="B45" s="2" t="n">
        <v>282</v>
      </c>
      <c r="C45" s="2" t="n">
        <v>520</v>
      </c>
      <c r="D45" s="2" t="n">
        <v>363</v>
      </c>
      <c r="E45" s="2" t="n">
        <v>482</v>
      </c>
    </row>
    <row r="46">
      <c r="A46" s="2" t="n">
        <v>45</v>
      </c>
      <c r="B46" s="2" t="n">
        <v>346</v>
      </c>
      <c r="C46" s="2" t="n">
        <v>450</v>
      </c>
      <c r="D46" s="2" t="n">
        <v>410</v>
      </c>
      <c r="E46" s="2" t="n">
        <v>754</v>
      </c>
    </row>
    <row r="47">
      <c r="A47" s="2" t="n">
        <v>46</v>
      </c>
      <c r="B47" s="2" t="n">
        <v>248</v>
      </c>
      <c r="C47" s="2" t="n">
        <v>503</v>
      </c>
      <c r="D47" s="2" t="n">
        <v>304</v>
      </c>
      <c r="E47" s="2" t="n">
        <v>780</v>
      </c>
    </row>
    <row r="48">
      <c r="A48" s="2" t="n">
        <v>47</v>
      </c>
      <c r="B48" s="2" t="n">
        <v>302</v>
      </c>
      <c r="C48" s="2" t="n">
        <v>388</v>
      </c>
      <c r="D48" s="2" t="n">
        <v>370</v>
      </c>
      <c r="E48" s="2" t="n">
        <v>551</v>
      </c>
    </row>
    <row r="49">
      <c r="A49" s="2" t="n">
        <v>48</v>
      </c>
      <c r="B49" s="2" t="n">
        <v>293</v>
      </c>
      <c r="C49" s="2" t="n">
        <v>432</v>
      </c>
      <c r="D49" s="2" t="n">
        <v>367</v>
      </c>
      <c r="E49" s="2" t="n">
        <v>688</v>
      </c>
    </row>
    <row r="50">
      <c r="A50" s="2" t="n">
        <v>49</v>
      </c>
      <c r="B50" s="2" t="n">
        <v>226</v>
      </c>
      <c r="C50" s="2" t="n">
        <v>449</v>
      </c>
      <c r="D50" s="2" t="n">
        <v>316</v>
      </c>
      <c r="E50" s="2" t="n">
        <v>603</v>
      </c>
    </row>
    <row r="51">
      <c r="A51" s="2" t="n">
        <v>50</v>
      </c>
      <c r="B51" s="2" t="n">
        <v>224</v>
      </c>
      <c r="C51" s="2" t="n">
        <v>404</v>
      </c>
      <c r="D51" s="2" t="n">
        <v>450</v>
      </c>
      <c r="E51" s="2" t="n">
        <v>663</v>
      </c>
    </row>
    <row r="52">
      <c r="A52" s="2" t="n">
        <v>51</v>
      </c>
      <c r="B52" s="2" t="n">
        <v>267</v>
      </c>
      <c r="C52" s="2" t="n">
        <v>389</v>
      </c>
      <c r="D52" s="2" t="n">
        <v>370</v>
      </c>
      <c r="E52" s="2" t="n">
        <v>691</v>
      </c>
    </row>
    <row r="53">
      <c r="A53" s="2" t="n">
        <v>52</v>
      </c>
      <c r="B53" s="2" t="n">
        <v>225</v>
      </c>
      <c r="C53" s="2" t="n">
        <v>408</v>
      </c>
      <c r="D53" s="2" t="n">
        <v>365</v>
      </c>
      <c r="E53" s="2" t="n">
        <v>576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2026-10-05T20:23:58Z</dcterms:created>
  <dcterms:modified xsi:type="dcterms:W3CDTF">2026-10-05T20:23:58Z</dcterms:modified>
</cp:coreProperties>
</file>